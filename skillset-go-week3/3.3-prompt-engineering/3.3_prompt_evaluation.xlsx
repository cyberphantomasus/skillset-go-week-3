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valuation Log" sheetId="2" state="visible" r:id="rId4"/>
    <sheet name="Rubrics" sheetId="3" state="visible" r:id="rId5"/>
    <sheet name="Test Inpu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<sst xmlns="http://schemas.openxmlformats.org/spreadsheetml/2006/main" count="200" uniqueCount="148">
  <si>
    <t xml:space="preserve">Task 3.3 - Prompt Engineering Portfolio: Evaluation Sheet</t>
  </si>
  <si>
    <t xml:space="preserve">Skill Set Go EduTech - AI/ML Internship, Week 3 | Offer ID: SSG/AIML/B1/0291 | 4 task types x 3 prompt versions = 12 evaluated runs</t>
  </si>
  <si>
    <t xml:space="preserve">Score by task type and prompt version (share of checks passed; see 'Evaluation Log' and 'Rubrics')</t>
  </si>
  <si>
    <t xml:space="preserve">Task type</t>
  </si>
  <si>
    <t xml:space="preserve">v1 (baseline)</t>
  </si>
  <si>
    <t xml:space="preserve">v2</t>
  </si>
  <si>
    <t xml:space="preserve">v3</t>
  </si>
  <si>
    <t xml:space="preserve">Change v1 to v3</t>
  </si>
  <si>
    <t xml:space="preserve">Reasoning</t>
  </si>
  <si>
    <t xml:space="preserve">Extraction</t>
  </si>
  <si>
    <t xml:space="preserve">Summarization</t>
  </si>
  <si>
    <t xml:space="preserve">Coding</t>
  </si>
  <si>
    <t xml:space="preserve">Average</t>
  </si>
  <si>
    <t xml:space="preserve">Key findings</t>
  </si>
  <si>
    <t xml:space="preserve">1. Explicit, checkable constraints drove the gains. Coding went from 17% to 50% to 100% and Extraction from 0% to 83% to 100% as format, error behaviour and output rules were spelled out.</t>
  </si>
  <si>
    <t xml:space="preserve">2. Reasoning: all three versions reached the correct answer ($51). Iterating changed the format and made the work checkable (every purchase option listed, fixed final line), not the correctness. This problem was too easy to show an accuracy benefit from 'think step by step'; a harder problem would be needed.</t>
  </si>
  <si>
    <t xml:space="preserve">3. Summarization: 'two sentences' did not control length (55 words). A word cap plus a required-content list produced a 36-word summary that contains all four required points and nothing extra.</t>
  </si>
  <si>
    <t xml:space="preserve">4. Coding: the baseline function silently returned 0 for '', 'abc' and '1x', and 300 for '-5m', and failed on upper-case input. Naming the error contract in the prompt fixed all of that; asking for type hints, a docstring and tests added the documentation checks (the 11 generated pytest cases pass).</t>
  </si>
  <si>
    <t xml:space="preserve">5. Constraints that were not stated (output format, length, error behaviour) were not reliably met until they were stated. Behaviour the model did by default (e.g. returning null for the missing phone number in E-2) needed no extra instruction.</t>
  </si>
  <si>
    <t xml:space="preserve">Method and limitations</t>
  </si>
  <si>
    <t xml:space="preserve">Each prompt was run once. The outputs in the log were produced by Claude (the AI assistant used to prepare this sheet) in response to each prompt exactly as written, then scored by script. They are NOT from a blind, independent run, and the rubrics were written alongside the prompts, so baseline (v1) results may look better than a cold run would.</t>
  </si>
  <si>
    <t xml:space="preserve">Scoring is automated where possible: JSON parsing, word and sentence counts, keyword presence, executing the generated function on test cases, and running the generated pytest file. One summarization check per row ('no invented facts') was done manually by reading each output against the source text.</t>
  </si>
  <si>
    <t xml:space="preserve">Limits: one task per category, one run per prompt (LLM output varies between runs), 3 to 7 checks each. Treat this as a demonstration of the evaluate-and-iterate method, not a benchmark.</t>
  </si>
  <si>
    <t xml:space="preserve">Legend: blue numbers in 'Evaluation Log' are measured check results (1 = pass, 0 = fail) typed in from the automated scoring; black cells are formulas. No cells need to be filled in.</t>
  </si>
  <si>
    <t xml:space="preserve">ID</t>
  </si>
  <si>
    <t xml:space="preserve">Category</t>
  </si>
  <si>
    <t xml:space="preserve">Prompt version</t>
  </si>
  <si>
    <t xml:space="preserve">Prompt (verbatim)</t>
  </si>
  <si>
    <t xml:space="preserve">What changed and why</t>
  </si>
  <si>
    <t xml:space="preserve">Model output (verbatim)</t>
  </si>
  <si>
    <t xml:space="preserve">Check 1</t>
  </si>
  <si>
    <t xml:space="preserve">Check 2</t>
  </si>
  <si>
    <t xml:space="preserve">Check 3</t>
  </si>
  <si>
    <t xml:space="preserve">Check 4</t>
  </si>
  <si>
    <t xml:space="preserve">Check 5</t>
  </si>
  <si>
    <t xml:space="preserve">Check 6</t>
  </si>
  <si>
    <t xml:space="preserve">Check 7</t>
  </si>
  <si>
    <t xml:space="preserve">Checks passed</t>
  </si>
  <si>
    <t xml:space="preserve">Checks total</t>
  </si>
  <si>
    <t xml:space="preserve">Score</t>
  </si>
  <si>
    <t xml:space="preserve">Measured notes</t>
  </si>
  <si>
    <t xml:space="preserve">R-1</t>
  </si>
  <si>
    <t xml:space="preserve">A bakery sells muffins at $3 each, or a box of 6 for $15. Sam wants exactly 20 muffins at the lowest total cost. How much will Sam pay?</t>
  </si>
  <si>
    <t xml:space="preserve">Baseline: the bare question, no instructions.</t>
  </si>
  <si>
    <t xml:space="preserve">Sam pays $51.
A box of 6 costs $15 ($2.50 per muffin), which beats the $3 single price, so use as many boxes as fit into 20 muffins: 3 boxes = 18 muffins = $45. The remaining 2 muffins are bought singly: 2 x $3 = $6.
Total: $45 + $6 = $51.</t>
  </si>
  <si>
    <t xml:space="preserve">R-2</t>
  </si>
  <si>
    <t xml:space="preserve">A bakery sells muffins at $3 each, or a box of 6 for $15. Sam wants exactly 20 muffins at the lowest total cost. How much will Sam pay?
Think step by step before giving your answer.</t>
  </si>
  <si>
    <t xml:space="preserve">Added 'Think step by step' to encourage visible reasoning.</t>
  </si>
  <si>
    <t xml:space="preserve">Step 1: A box of 6 costs $15, which is $2.50 per muffin - cheaper than the $3 single price - so boxes should be used wherever possible.
Step 2: 20 / 6 = 3 boxes with a remainder of 2. Three boxes give 18 muffins.
Step 3: The last 2 muffins can't be another box (that would give 24, not exactly 20), so they are bought singly: 2 x $3 = $6.
Step 4: Cost = 3 x $15 + $6 = $45 + $6 = $51.
Sam pays $51.</t>
  </si>
  <si>
    <t xml:space="preserve">R-3</t>
  </si>
  <si>
    <t xml:space="preserve">A bakery sells muffins at $3 each, or a box of 6 for $15. Sam wants exactly 20 muffins at the lowest total cost. How much will Sam pay?
Solve this by:
1. Listing every way to buy exactly 20 muffins using boxes of 6 and single muffins.
2. Calculating the total cost of each way.
3. Choosing the cheapest and checking that it totals exactly 20 muffins.
End with a final line in exactly this format: ANSWER: $&lt;amount&gt;</t>
  </si>
  <si>
    <t xml:space="preserve">Replaced the generic instruction with an explicit procedure (enumerate every option, cost each, verify the count) and a fixed final-line format so the answer can be checked automatically.</t>
  </si>
  <si>
    <t xml:space="preserve">1. Ways to buy exactly 20 muffins (6b + s = 20, b = boxes, s = singles):
   - 0 boxes + 20 singles
   - 1 box + 14 singles
   - 2 boxes + 8 singles
   - 3 boxes + 2 singles
   (4 boxes would be 24 muffins, which is more than 20.)
2. Costs:
   - 0 boxes: 20 x $3 = $60
   - 1 box: $15 + 14 x $3 = $57
   - 2 boxes: $30 + 8 x $3 = $54
   - 3 boxes: $45 + 2 x $3 = $51
3. Cheapest is 3 boxes + 2 singles at $51. Check: 3 x 6 + 2 = 20 muffins.
ANSWER: $51</t>
  </si>
  <si>
    <t xml:space="preserve">E-1</t>
  </si>
  <si>
    <t xml:space="preserve">Get the important details from this email.
Email:
Hi team, this is Priya Nair from Brightline Logistics. Our order #48213 (placed 3 March) arrived damaged - 2 of the 12 monitors have cracked screens. We paid $3,480 in total and would like a replacement for the two units, not a refund. Please reply to priya.nair@brightline.example. Also, I'll be out of office from the 20th.</t>
  </si>
  <si>
    <t xml:space="preserve">Baseline: vague request, no output format.</t>
  </si>
  <si>
    <t xml:space="preserve">Here are the key details:
- Sender: Priya Nair of Brightline Logistics
- Order: #48213, placed 3 March
- Problem: the order arrived damaged - 2 of the 12 monitors have cracked screens
- Amount paid: $3,480
- Request: replacement of the two damaged units (not a refund)
- Contact: priya.nair@brightline.example
- Note: she will be out of office from the 20th</t>
  </si>
  <si>
    <t xml:space="preserve">Output is not JSON (free-form text), so no field could be machine-checked.</t>
  </si>
  <si>
    <t xml:space="preserve">E-2</t>
  </si>
  <si>
    <t xml:space="preserve">Extract these fields from the email below as JSON, using exactly these keys: customer_name, company, order_id, order_date, issue, total_paid, resolution_requested, phone.
Email:
Hi team, this is Priya Nair from Brightline Logistics. Our order #48213 (placed 3 March) arrived damaged - 2 of the 12 monitors have cracked screens. We paid $3,480 in total and would like a replacement for the two units, not a refund. Please reply to priya.nair@brightline.example. Also, I'll be out of office from the 20th.</t>
  </si>
  <si>
    <t xml:space="preserve">Asked for JSON with exactly named keys so the output has a fixed structure.</t>
  </si>
  <si>
    <t xml:space="preserve">```json
{
  "customer_name": "Priya Nair",
  "company": "Brightline Logistics",
  "order_id": "48213",
  "order_date": "3 March",
  "issue": "2 of the 12 monitors arrived with cracked screens",
  "total_paid": 3480,
  "resolution_requested": "Replacement of the two damaged units",
  "phone": null
}
```
The email doesn't include a phone number, so I set that field to null.</t>
  </si>
  <si>
    <t xml:space="preserve">JSON only parses after stripping the code fence/commentary around it.</t>
  </si>
  <si>
    <t xml:space="preserve">E-3</t>
  </si>
  <si>
    <t xml:space="preserve">Extract information from the email below and return ONLY a JSON object (no code fences, no commentary) with exactly these keys:
- customer_name (string)
- company (string)
- order_id (string, digits only, no '#')
- order_date (string, as written in the email)
- issue (string, one sentence)
- total_paid (number, no currency symbol)
- resolution_requested (string)
- phone (string)
Rules: use null for any field the email does not state; never guess or invent values; ignore details unrelated to these fields.
Email:
Hi team, this is Priya Nair from Brightline Logistics. Our order #48213 (placed 3 March) arrived damaged - 2 of the 12 monitors have cracked screens. We paid $3,480 in total and would like a replacement for the two units, not a refund. Please reply to priya.nair@brightline.example. Also, I'll be out of office from the 20th.</t>
  </si>
  <si>
    <t xml:space="preserve">Added field types, null-for-missing and no-guessing rules, 'JSON only' (no fences or commentary) and an instruction to ignore unrelated details, so the output can be parsed directly.</t>
  </si>
  <si>
    <t xml:space="preserve">{
  "customer_name": "Priya Nair",
  "company": "Brightline Logistics",
  "order_id": "48213",
  "order_date": "3 March",
  "issue": "2 of the 12 monitors arrived with cracked screens.",
  "total_paid": 3480,
  "resolution_requested": "Replacement of the two damaged units, not a refund",
  "phone": null
}</t>
  </si>
  <si>
    <t xml:space="preserve">S-1</t>
  </si>
  <si>
    <t xml:space="preserve">Summarize this.
The city of Marlow ran a six-month bike-share pilot from April to September. The program placed 300 bikes at 40 docking stations, mostly near the university and the central train station. Riders made an average of 4,200 trips per day, and a follow-up survey of 1,100 riders found that 18% said they used the bikes in place of a car trip. Operating costs came to $410,000, about $90,000 over budget, mainly because of vandalism and the cost of redistributing bikes between stations. The council noted that the pilot ran only during the warmest months, so winter demand is unknown. A vote on whether to expand the program to 120 stations is scheduled for November.</t>
  </si>
  <si>
    <t xml:space="preserve">Baseline: 'Summarize this.'</t>
  </si>
  <si>
    <t xml:space="preserve">Marlow's six-month bike-share pilot (300 bikes, 40 stations, April to September) averaged 4,200 trips a day, and 18% of surveyed riders said they replaced a car trip with a bike. It cost $410,000, roughly $90,000 over budget because of vandalism and the expense of moving bikes between stations. Because it only ran in warm months, winter demand is unknown, and the council votes in November on expanding to 120 stations.</t>
  </si>
  <si>
    <t xml:space="preserve">70 words, 3 sentence(s).</t>
  </si>
  <si>
    <t xml:space="preserve">S-2</t>
  </si>
  <si>
    <t xml:space="preserve">Summarize this for a busy city manager in two sentences.
The city of Marlow ran a six-month bike-share pilot from April to September. The program placed 300 bikes at 40 docking stations, mostly near the university and the central train station. Riders made an average of 4,200 trips per day, and a follow-up survey of 1,100 riders found that 18% said they used the bikes in place of a car trip. Operating costs came to $410,000, about $90,000 over budget, mainly because of vandalism and the cost of redistributing bikes between stations. The council noted that the pilot ran only during the warmest months, so winter demand is unknown. A vote on whether to expand the program to 120 stations is scheduled for November.</t>
  </si>
  <si>
    <t xml:space="preserve">Added an audience (busy city manager) and a sentence limit.</t>
  </si>
  <si>
    <t xml:space="preserve">Marlow's six-month bike-share pilot averaged 4,200 trips a day, with 18% of surveyed riders replacing a car trip, but it cost $410,000, about $90,000 over budget, due to vandalism and bike redistribution. Winter demand is untested because the pilot ran only in warm months, and the council votes in November on expanding to 120 stations.</t>
  </si>
  <si>
    <t xml:space="preserve">55 words, 2 sentence(s).</t>
  </si>
  <si>
    <t xml:space="preserve">S-3</t>
  </si>
  <si>
    <t xml:space="preserve">Summarize the text below for a busy city manager.
Requirements:
- Maximum 40 words, in 2 sentences
- Must include: the usage result, the cost overrun, the winter-demand caveat, and the November vote
- Use only facts stated in the text; do not add anything new
Text:
The city of Marlow ran a six-month bike-share pilot from April to September. The program placed 300 bikes at 40 docking stations, mostly near the university and the central train station. Riders made an average of 4,200 trips per day, and a follow-up survey of 1,100 riders found that 18% said they used the bikes in place of a car trip. Operating costs came to $410,000, about $90,000 over budget, mainly because of vandalism and the cost of redistributing bikes between stations. The council noted that the pilot ran only during the warmest months, so winter demand is unknown. A vote on whether to expand the program to 120 stations is scheduled for November.</t>
  </si>
  <si>
    <t xml:space="preserve">Replaced the sentence limit with a word cap plus a required-content list and an instruction to add nothing new.</t>
  </si>
  <si>
    <t xml:space="preserve">Marlow's bike-share pilot averaged 4,200 trips a day but ran about $90,000 over budget. Winter demand is unknown because it ran only in warm months, and the council votes in November on expanding to 120 stations.</t>
  </si>
  <si>
    <t xml:space="preserve">36 words, 2 sentence(s).</t>
  </si>
  <si>
    <t xml:space="preserve">C-1</t>
  </si>
  <si>
    <t xml:space="preserve">Write a Python function that converts a duration string like '1h30m' into seconds.</t>
  </si>
  <si>
    <t xml:space="preserve">Baseline: the bare task.</t>
  </si>
  <si>
    <t xml:space="preserve">```python
import re
def parse_duration(s):
    total = 0
    units = {"h": 3600, "m": 60, "s": 1}
    for value, unit in re.findall(r"(\d+)([hms])", s):
        total += int(value) * units[unit]
    return total
print(parse_duration("1h30m"))  # 5400
```
This finds each number-plus-unit pair and adds up its value in seconds.</t>
  </si>
  <si>
    <t xml:space="preserve">'1H30M' -&gt; 0 (expected 5400); '' did not raise ValueError (returned 0); 'abc' did not raise ValueError (returned 0); '1x' did not raise ValueError (returned 0); '-5m' did not raise ValueError (returned 300); '1h30' did not raise ValueError (returned 3600)</t>
  </si>
  <si>
    <t xml:space="preserve">C-2</t>
  </si>
  <si>
    <t xml:space="preserve">Write a Python function that converts a duration string like '1h30m' into seconds.
Requirements: support h, m and s in any combination (e.g. '1h30m', '45s', '90m', '1h 30m 15s'); allow optional spaces; be case-insensitive; raise ValueError for empty, malformed or negative input (e.g. '', 'abc', '1x', '-5m', '1h30').</t>
  </si>
  <si>
    <t xml:space="preserve">Specified supported units and formats, case-insensitivity, and an error contract (ValueError for invalid input, with examples).</t>
  </si>
  <si>
    <t xml:space="preserve">```python
import re
_TOKEN = re.compile(r"(\d+)\s*([hms])", re.IGNORECASE)
_VALID = re.compile(r"\s*(?:\d+\s*[hms]\s*)+", re.IGNORECASE)
def parse_duration(s):
    if not _VALID.fullmatch(s):
        raise ValueError(f"invalid duration: {s!r}")
    units = {"h": 3600, "m": 60, "s": 1}
    return sum(int(n) * units[u.lower()] for n, u in _TOKEN.findall(s))
```
The whole string is validated first, then each number-plus-unit pair is summed.</t>
  </si>
  <si>
    <t xml:space="preserve">C-3</t>
  </si>
  <si>
    <t xml:space="preserve">Write a Python function that converts a duration string like '1h30m' into seconds.
Requirements: support h, m and s in any combination (e.g. '1h30m', '45s', '90m', '1h 30m 15s'); allow optional spaces; be case-insensitive; raise ValueError for empty, malformed or negative input (e.g. '', 'abc', '1x', '-5m', '1h30').
Also: add type hints and a docstring, and include a small set of pytest tests covering normal and invalid inputs. Return only code blocks, with no explanation.</t>
  </si>
  <si>
    <t xml:space="preserve">Added deliverable requirements: type hints, a docstring, pytest tests, and code only.</t>
  </si>
  <si>
    <t xml:space="preserve">```python
import re
import pytest
_TOKEN = re.compile(r"(\d+)\s*([hms])", re.IGNORECASE)
_VALID = re.compile(r"\s*(?:\d+\s*[hms]\s*)+", re.IGNORECASE)
_SECONDS = {"h": 3600, "m": 60, "s": 1}
def parse_duration(text: str) -&gt; int:
    """Convert a duration string such as '1h30m' or '1h 30m 15s' into total seconds.
    Supports h, m and s units in any combination, optional whitespace, and
    upper- or lower-case letters.
    Raises:
        ValueError: if the text is empty, malformed, or contains a negative value.
    """
    if not _VALID.fullmatch(text):
        raise ValueError(f"invalid duration: {text!r}")
    return sum(int(n) * _SECONDS[u.lower()] for n, u in _TOKEN.findall(text))
@pytest.mark.parametrize(
    "text, expected",
    [("1h30m", 5400), ("45s", 45), ("2h", 7200), ("90m", 5400), ("1h 30m 15s", 5415), ("1H30M", 5400)],
)
def test_valid(text, expected):
    assert parse_duration(text) == expected
@pytest.mark.parametrize("text", ["", "abc", "1x", "-5m", "1h30"])
def test_invalid(text):
    with pytest.raises(ValueError):
        parse_duration(text)
```</t>
  </si>
  <si>
    <t xml:space="preserve">pytest: 11 passed in 0.02s</t>
  </si>
  <si>
    <t xml:space="preserve">Check</t>
  </si>
  <si>
    <t xml:space="preserve">What is checked</t>
  </si>
  <si>
    <t xml:space="preserve">How it is measured</t>
  </si>
  <si>
    <t xml:space="preserve">Final dollar amount stated is $51 (the true minimum cost)</t>
  </si>
  <si>
    <t xml:space="preserve">Automated: last $ amount in the output</t>
  </si>
  <si>
    <t xml:space="preserve">Shows the winning combination (3 boxes plus 2 single muffins)</t>
  </si>
  <si>
    <t xml:space="preserve">Automated: text pattern match</t>
  </si>
  <si>
    <t xml:space="preserve">Last line is exactly 'ANSWER: $51'</t>
  </si>
  <si>
    <t xml:space="preserve">Automated: exact string match</t>
  </si>
  <si>
    <t xml:space="preserve">Entire output parses as JSON (no code fence or commentary)</t>
  </si>
  <si>
    <t xml:space="preserve">Automated: json.loads on the raw output</t>
  </si>
  <si>
    <t xml:space="preserve">Has exactly the 8 requested keys, no more, no fewer</t>
  </si>
  <si>
    <t xml:space="preserve">Automated: key set comparison</t>
  </si>
  <si>
    <t xml:space="preserve">total_paid is the number 3480 (not a string)</t>
  </si>
  <si>
    <t xml:space="preserve">Automated: value and type check</t>
  </si>
  <si>
    <t xml:space="preserve">order_id is '48213' (no '#')</t>
  </si>
  <si>
    <t xml:space="preserve">Automated: exact value</t>
  </si>
  <si>
    <t xml:space="preserve">phone is null (the email gives no phone number)</t>
  </si>
  <si>
    <t xml:space="preserve">Automated: value is None</t>
  </si>
  <si>
    <t xml:space="preserve">customer_name and company are correct</t>
  </si>
  <si>
    <t xml:space="preserve">Automated: exact values</t>
  </si>
  <si>
    <t xml:space="preserve">40 words or fewer</t>
  </si>
  <si>
    <t xml:space="preserve">Automated: word count</t>
  </si>
  <si>
    <t xml:space="preserve">Exactly 2 sentences</t>
  </si>
  <si>
    <t xml:space="preserve">Automated: sentence split</t>
  </si>
  <si>
    <t xml:space="preserve">Includes the usage result (4,200 trips/day or 18%)</t>
  </si>
  <si>
    <t xml:space="preserve">Automated: keyword match</t>
  </si>
  <si>
    <t xml:space="preserve">Includes the cost overrun ($90,000 / over budget)</t>
  </si>
  <si>
    <t xml:space="preserve">Includes the winter-demand caveat</t>
  </si>
  <si>
    <t xml:space="preserve">Includes the November vote</t>
  </si>
  <si>
    <t xml:space="preserve">No facts that are not in the source text</t>
  </si>
  <si>
    <t xml:space="preserve">Manual: read against the source</t>
  </si>
  <si>
    <t xml:space="preserve">Valid inputs return the right seconds ('1h30m', '45s', '2h', '90m', '1h 30m 15s')</t>
  </si>
  <si>
    <t xml:space="preserve">Automated: executed on 5 cases</t>
  </si>
  <si>
    <t xml:space="preserve">Case-insensitive ('1H30M' = 5400)</t>
  </si>
  <si>
    <t xml:space="preserve">Automated: executed</t>
  </si>
  <si>
    <t xml:space="preserve">Raises ValueError for '', 'abc', '1x', '-5m', '1h30'</t>
  </si>
  <si>
    <t xml:space="preserve">Type hints on all parameters and the return value</t>
  </si>
  <si>
    <t xml:space="preserve">Automated: AST inspection</t>
  </si>
  <si>
    <t xml:space="preserve">Function has a docstring</t>
  </si>
  <si>
    <t xml:space="preserve">Ships its own tests, and they pass</t>
  </si>
  <si>
    <t xml:space="preserve">Automated: pytest run on the generated file</t>
  </si>
  <si>
    <t xml:space="preserve">Test input</t>
  </si>
  <si>
    <t xml:space="preserve">Content</t>
  </si>
  <si>
    <t xml:space="preserve">Reasoning question</t>
  </si>
  <si>
    <t xml:space="preserve">A bakery sells muffins at $3 each, or a box of 6 for $15. Sam wants exactly 20 muffins at the lowest total cost. How much will Sam pay?
Ground truth: 3 boxes (18 muffins, $45) + 2 singles ($6) = $51. Other exact-20 options cost $54, $57 or $60.</t>
  </si>
  <si>
    <t xml:space="preserve">Extraction email</t>
  </si>
  <si>
    <t xml:space="preserve">Hi team, this is Priya Nair from Brightline Logistics. Our order #48213 (placed 3 March) arrived damaged - 2 of the 12 monitors have cracked screens. We paid $3,480 in total and would like a replacement for the two units, not a refund. Please reply to priya.nair@brightline.example. Also, I'll be out of office from the 20th.
Ground truth: order_id 48213; total_paid 3480; phone not stated (null); the out-of-office remark is not one of the fields.</t>
  </si>
  <si>
    <t xml:space="preserve">Summarization text</t>
  </si>
  <si>
    <t xml:space="preserve">The city of Marlow ran a six-month bike-share pilot from April to September. The program placed 300 bikes at 40 docking stations, mostly near the university and the central train station. Riders made an average of 4,200 trips per day, and a follow-up survey of 1,100 riders found that 18% said they used the bikes in place of a car trip. Operating costs came to $410,000, about $90,000 over budget, mainly because of vandalism and the cost of redistributing bikes between stations. The council noted that the pilot ran only during the warmest months, so winter demand is unknown. A vote on whether to expand the program to 120 stations is scheduled for November.
(114 words. Original text written for this exercise.)</t>
  </si>
  <si>
    <t xml:space="preserve">Coding task</t>
  </si>
  <si>
    <t xml:space="preserve">Write a Python function that converts a duration string like '1h30m' into seconds.
Hidden test contract: h/m/s in any combination, optional spaces, case-insensitive; ValueError for empty, malformed or negative input.</t>
  </si>
</sst>
</file>

<file path=xl/styles.xml><?xml version="1.0" encoding="utf-8"?>
<styleSheet xmlns="http://schemas.openxmlformats.org/spreadsheetml/2006/main">
  <numFmts count="4">
    <numFmt numFmtId="164" formatCode="General"/>
    <numFmt numFmtId="165" formatCode="0%"/>
    <numFmt numFmtId="166" formatCode="\+0%;\-0%;0%"/>
    <numFmt numFmtId="167"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name val="Arial"/>
      <family val="0"/>
      <charset val="1"/>
    </font>
    <font>
      <b val="true"/>
      <sz val="10"/>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Checks passed by prompt version</a:t>
            </a:r>
          </a:p>
        </c:rich>
      </c:tx>
      <c:overlay val="0"/>
      <c:spPr>
        <a:noFill/>
        <a:ln w="0">
          <a:noFill/>
        </a:ln>
      </c:spPr>
    </c:title>
    <c:autoTitleDeleted val="0"/>
    <c:plotArea>
      <c:barChart>
        <c:barDir val="col"/>
        <c:grouping val="clustered"/>
        <c:varyColors val="0"/>
        <c:ser>
          <c:idx val="0"/>
          <c:order val="0"/>
          <c:tx>
            <c:strRef>
              <c:f>Summary!B5</c:f>
              <c:strCache>
                <c:ptCount val="1"/>
                <c:pt idx="0">
                  <c:v>v1 (baseline)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Summary!$A$6:$A$9</c:f>
              <c:strCache>
                <c:ptCount val="4"/>
                <c:pt idx="0">
                  <c:v>Reasoning</c:v>
                </c:pt>
                <c:pt idx="1">
                  <c:v>Extraction</c:v>
                </c:pt>
                <c:pt idx="2">
                  <c:v>Summarization</c:v>
                </c:pt>
                <c:pt idx="3">
                  <c:v>Coding</c:v>
                </c:pt>
              </c:strCache>
            </c:strRef>
          </c:cat>
          <c:val>
            <c:numRef>
              <c:f>Summary!$B$6:$B$9</c:f>
              <c:numCache>
                <c:formatCode>0%</c:formatCode>
                <c:ptCount val="4"/>
                <c:pt idx="0">
                  <c:v>0.666666666666667</c:v>
                </c:pt>
                <c:pt idx="1">
                  <c:v>0</c:v>
                </c:pt>
                <c:pt idx="2">
                  <c:v>0.714285714285714</c:v>
                </c:pt>
                <c:pt idx="3">
                  <c:v>0.166666666666667</c:v>
                </c:pt>
              </c:numCache>
            </c:numRef>
          </c:val>
        </c:ser>
        <c:ser>
          <c:idx val="1"/>
          <c:order val="1"/>
          <c:tx>
            <c:strRef>
              <c:f>Summary!C5</c:f>
              <c:strCache>
                <c:ptCount val="1"/>
                <c:pt idx="0">
                  <c:v>v2</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Summary!$A$6:$A$9</c:f>
              <c:strCache>
                <c:ptCount val="4"/>
                <c:pt idx="0">
                  <c:v>Reasoning</c:v>
                </c:pt>
                <c:pt idx="1">
                  <c:v>Extraction</c:v>
                </c:pt>
                <c:pt idx="2">
                  <c:v>Summarization</c:v>
                </c:pt>
                <c:pt idx="3">
                  <c:v>Coding</c:v>
                </c:pt>
              </c:strCache>
            </c:strRef>
          </c:cat>
          <c:val>
            <c:numRef>
              <c:f>Summary!$C$6:$C$9</c:f>
              <c:numCache>
                <c:formatCode>0%</c:formatCode>
                <c:ptCount val="4"/>
                <c:pt idx="0">
                  <c:v>0.666666666666667</c:v>
                </c:pt>
                <c:pt idx="1">
                  <c:v>0.833333333333333</c:v>
                </c:pt>
                <c:pt idx="2">
                  <c:v>0.857142857142857</c:v>
                </c:pt>
                <c:pt idx="3">
                  <c:v>0.5</c:v>
                </c:pt>
              </c:numCache>
            </c:numRef>
          </c:val>
        </c:ser>
        <c:ser>
          <c:idx val="2"/>
          <c:order val="2"/>
          <c:tx>
            <c:strRef>
              <c:f>Summary!D5</c:f>
              <c:strCache>
                <c:ptCount val="1"/>
                <c:pt idx="0">
                  <c:v>v3</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Summary!$A$6:$A$9</c:f>
              <c:strCache>
                <c:ptCount val="4"/>
                <c:pt idx="0">
                  <c:v>Reasoning</c:v>
                </c:pt>
                <c:pt idx="1">
                  <c:v>Extraction</c:v>
                </c:pt>
                <c:pt idx="2">
                  <c:v>Summarization</c:v>
                </c:pt>
                <c:pt idx="3">
                  <c:v>Coding</c:v>
                </c:pt>
              </c:strCache>
            </c:strRef>
          </c:cat>
          <c:val>
            <c:numRef>
              <c:f>Summary!$D$6:$D$9</c:f>
              <c:numCache>
                <c:formatCode>0%</c:formatCode>
                <c:ptCount val="4"/>
                <c:pt idx="0">
                  <c:v>1</c:v>
                </c:pt>
                <c:pt idx="1">
                  <c:v>1</c:v>
                </c:pt>
                <c:pt idx="2">
                  <c:v>1</c:v>
                </c:pt>
                <c:pt idx="3">
                  <c:v>1</c:v>
                </c:pt>
              </c:numCache>
            </c:numRef>
          </c:val>
        </c:ser>
        <c:gapWidth val="150"/>
        <c:overlap val="0"/>
        <c:axId val="33167309"/>
        <c:axId val="32559209"/>
      </c:barChart>
      <c:catAx>
        <c:axId val="331673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559209"/>
        <c:crosses val="autoZero"/>
        <c:auto val="1"/>
        <c:lblAlgn val="ctr"/>
        <c:lblOffset val="100"/>
        <c:noMultiLvlLbl val="0"/>
      </c:catAx>
      <c:valAx>
        <c:axId val="32559209"/>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checks passed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1673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160560</xdr:rowOff>
    </xdr:from>
    <xdr:to>
      <xdr:col>4</xdr:col>
      <xdr:colOff>677160</xdr:colOff>
      <xdr:row>25</xdr:row>
      <xdr:rowOff>2880</xdr:rowOff>
    </xdr:to>
    <xdr:graphicFrame>
      <xdr:nvGraphicFramePr>
        <xdr:cNvPr id="0" name="Chart 1"/>
        <xdr:cNvGraphicFramePr/>
      </xdr:nvGraphicFramePr>
      <xdr:xfrm>
        <a:off x="0" y="20955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5"/>
    <col collapsed="false" customWidth="true" hidden="false" outlineLevel="0" max="5" min="5" style="0" width="18"/>
    <col collapsed="false" customWidth="true" hidden="false" outlineLevel="0" max="6" min="6" style="0" width="3"/>
    <col collapsed="false" customWidth="true" hidden="false" outlineLevel="0" max="8" min="7"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s">
        <v>8</v>
      </c>
      <c r="B6" s="6" t="n">
        <f aca="false">'Evaluation Log'!P2</f>
        <v>0.666666666666667</v>
      </c>
      <c r="C6" s="6" t="n">
        <f aca="false">'Evaluation Log'!P3</f>
        <v>0.666666666666667</v>
      </c>
      <c r="D6" s="6" t="n">
        <f aca="false">'Evaluation Log'!P4</f>
        <v>1</v>
      </c>
      <c r="E6" s="7" t="n">
        <f aca="false">D6-B6</f>
        <v>0.333333333333333</v>
      </c>
    </row>
    <row r="7" customFormat="false" ht="15" hidden="false" customHeight="false" outlineLevel="0" collapsed="false">
      <c r="A7" s="5" t="s">
        <v>9</v>
      </c>
      <c r="B7" s="6" t="n">
        <f aca="false">'Evaluation Log'!P5</f>
        <v>0</v>
      </c>
      <c r="C7" s="6" t="n">
        <f aca="false">'Evaluation Log'!P6</f>
        <v>0.833333333333333</v>
      </c>
      <c r="D7" s="6" t="n">
        <f aca="false">'Evaluation Log'!P7</f>
        <v>1</v>
      </c>
      <c r="E7" s="7" t="n">
        <f aca="false">D7-B7</f>
        <v>1</v>
      </c>
    </row>
    <row r="8" customFormat="false" ht="15" hidden="false" customHeight="false" outlineLevel="0" collapsed="false">
      <c r="A8" s="5" t="s">
        <v>10</v>
      </c>
      <c r="B8" s="6" t="n">
        <f aca="false">'Evaluation Log'!P8</f>
        <v>0.714285714285714</v>
      </c>
      <c r="C8" s="6" t="n">
        <f aca="false">'Evaluation Log'!P9</f>
        <v>0.857142857142857</v>
      </c>
      <c r="D8" s="6" t="n">
        <f aca="false">'Evaluation Log'!P10</f>
        <v>1</v>
      </c>
      <c r="E8" s="7" t="n">
        <f aca="false">D8-B8</f>
        <v>0.285714285714286</v>
      </c>
    </row>
    <row r="9" customFormat="false" ht="15" hidden="false" customHeight="false" outlineLevel="0" collapsed="false">
      <c r="A9" s="5" t="s">
        <v>11</v>
      </c>
      <c r="B9" s="6" t="n">
        <f aca="false">'Evaluation Log'!P11</f>
        <v>0.166666666666667</v>
      </c>
      <c r="C9" s="6" t="n">
        <f aca="false">'Evaluation Log'!P12</f>
        <v>0.5</v>
      </c>
      <c r="D9" s="6" t="n">
        <f aca="false">'Evaluation Log'!P13</f>
        <v>1</v>
      </c>
      <c r="E9" s="7" t="n">
        <f aca="false">D9-B9</f>
        <v>0.833333333333333</v>
      </c>
    </row>
    <row r="10" customFormat="false" ht="15" hidden="false" customHeight="false" outlineLevel="0" collapsed="false">
      <c r="A10" s="8" t="s">
        <v>12</v>
      </c>
      <c r="B10" s="9" t="n">
        <f aca="false">AVERAGE(B6:B9)</f>
        <v>0.386904761904762</v>
      </c>
      <c r="C10" s="9" t="n">
        <f aca="false">AVERAGE(C6:C9)</f>
        <v>0.714285714285714</v>
      </c>
      <c r="D10" s="9" t="n">
        <f aca="false">AVERAGE(D6:D9)</f>
        <v>1</v>
      </c>
      <c r="E10" s="10" t="n">
        <f aca="false">D10-B10</f>
        <v>0.613095238095238</v>
      </c>
    </row>
    <row r="29" customFormat="false" ht="15" hidden="false" customHeight="false" outlineLevel="0" collapsed="false">
      <c r="A29" s="11" t="s">
        <v>13</v>
      </c>
      <c r="B29" s="12"/>
      <c r="C29" s="12"/>
      <c r="D29" s="12"/>
      <c r="E29" s="12"/>
      <c r="F29" s="12"/>
      <c r="G29" s="12"/>
      <c r="H29" s="12"/>
    </row>
    <row r="30" customFormat="false" ht="31.5" hidden="false" customHeight="true" outlineLevel="0" collapsed="false">
      <c r="A30" s="13" t="s">
        <v>14</v>
      </c>
      <c r="B30" s="13"/>
      <c r="C30" s="13"/>
      <c r="D30" s="13"/>
      <c r="E30" s="13"/>
      <c r="F30" s="13"/>
      <c r="G30" s="13"/>
      <c r="H30" s="13"/>
    </row>
    <row r="31" customFormat="false" ht="45.75" hidden="false" customHeight="true" outlineLevel="0" collapsed="false">
      <c r="A31" s="13" t="s">
        <v>15</v>
      </c>
      <c r="B31" s="13"/>
      <c r="C31" s="13"/>
      <c r="D31" s="13"/>
      <c r="E31" s="13"/>
      <c r="F31" s="13"/>
      <c r="G31" s="13"/>
      <c r="H31" s="13"/>
    </row>
    <row r="32" customFormat="false" ht="31.5" hidden="false" customHeight="true" outlineLevel="0" collapsed="false">
      <c r="A32" s="13" t="s">
        <v>16</v>
      </c>
      <c r="B32" s="13"/>
      <c r="C32" s="13"/>
      <c r="D32" s="13"/>
      <c r="E32" s="13"/>
      <c r="F32" s="13"/>
      <c r="G32" s="13"/>
      <c r="H32" s="13"/>
    </row>
    <row r="33" customFormat="false" ht="45.75" hidden="false" customHeight="true" outlineLevel="0" collapsed="false">
      <c r="A33" s="13" t="s">
        <v>17</v>
      </c>
      <c r="B33" s="13"/>
      <c r="C33" s="13"/>
      <c r="D33" s="13"/>
      <c r="E33" s="13"/>
      <c r="F33" s="13"/>
      <c r="G33" s="13"/>
      <c r="H33" s="13"/>
    </row>
    <row r="34" customFormat="false" ht="45.75" hidden="false" customHeight="true" outlineLevel="0" collapsed="false">
      <c r="A34" s="13" t="s">
        <v>18</v>
      </c>
      <c r="B34" s="13"/>
      <c r="C34" s="13"/>
      <c r="D34" s="13"/>
      <c r="E34" s="13"/>
      <c r="F34" s="13"/>
      <c r="G34" s="13"/>
      <c r="H34" s="13"/>
    </row>
    <row r="35" customFormat="false" ht="15" hidden="false" customHeight="false" outlineLevel="0" collapsed="false">
      <c r="A35" s="11" t="s">
        <v>19</v>
      </c>
      <c r="B35" s="12"/>
      <c r="C35" s="12"/>
      <c r="D35" s="12"/>
      <c r="E35" s="12"/>
      <c r="F35" s="12"/>
      <c r="G35" s="12"/>
      <c r="H35" s="12"/>
    </row>
    <row r="36" customFormat="false" ht="60" hidden="false" customHeight="true" outlineLevel="0" collapsed="false">
      <c r="A36" s="13" t="s">
        <v>20</v>
      </c>
      <c r="B36" s="13"/>
      <c r="C36" s="13"/>
      <c r="D36" s="13"/>
      <c r="E36" s="13"/>
      <c r="F36" s="13"/>
      <c r="G36" s="13"/>
      <c r="H36" s="13"/>
    </row>
    <row r="37" customFormat="false" ht="45.75" hidden="false" customHeight="true" outlineLevel="0" collapsed="false">
      <c r="A37" s="13" t="s">
        <v>21</v>
      </c>
      <c r="B37" s="13"/>
      <c r="C37" s="13"/>
      <c r="D37" s="13"/>
      <c r="E37" s="13"/>
      <c r="F37" s="13"/>
      <c r="G37" s="13"/>
      <c r="H37" s="13"/>
    </row>
    <row r="38" customFormat="false" ht="31.5" hidden="false" customHeight="true" outlineLevel="0" collapsed="false">
      <c r="A38" s="13" t="s">
        <v>22</v>
      </c>
      <c r="B38" s="13"/>
      <c r="C38" s="13"/>
      <c r="D38" s="13"/>
      <c r="E38" s="13"/>
      <c r="F38" s="13"/>
      <c r="G38" s="13"/>
      <c r="H38" s="13"/>
    </row>
    <row r="39" customFormat="false" ht="31.5" hidden="false" customHeight="true" outlineLevel="0" collapsed="false">
      <c r="A39" s="13" t="s">
        <v>23</v>
      </c>
      <c r="B39" s="13"/>
      <c r="C39" s="13"/>
      <c r="D39" s="13"/>
      <c r="E39" s="13"/>
      <c r="F39" s="13"/>
      <c r="G39" s="13"/>
      <c r="H39" s="13"/>
    </row>
  </sheetData>
  <mergeCells count="9">
    <mergeCell ref="A30:H30"/>
    <mergeCell ref="A31:H31"/>
    <mergeCell ref="A32:H32"/>
    <mergeCell ref="A33:H33"/>
    <mergeCell ref="A34:H34"/>
    <mergeCell ref="A36:H36"/>
    <mergeCell ref="A37:H37"/>
    <mergeCell ref="A38:H38"/>
    <mergeCell ref="A39:H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13"/>
    <col collapsed="false" customWidth="true" hidden="false" outlineLevel="0" max="4" min="4" style="0" width="58"/>
    <col collapsed="false" customWidth="true" hidden="false" outlineLevel="0" max="5" min="5" style="0" width="38"/>
    <col collapsed="false" customWidth="true" hidden="false" outlineLevel="0" max="6" min="6" style="0" width="78"/>
    <col collapsed="false" customWidth="true" hidden="false" outlineLevel="0" max="13" min="7" style="0" width="8"/>
    <col collapsed="false" customWidth="true" hidden="false" outlineLevel="0" max="16" min="14" style="0" width="9"/>
    <col collapsed="false" customWidth="true" hidden="false" outlineLevel="0" max="17" min="17" style="0" width="48"/>
  </cols>
  <sheetData>
    <row r="1" customFormat="false" ht="30" hidden="false" customHeight="true" outlineLevel="0" collapsed="false">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row>
    <row r="2" customFormat="false" ht="90" hidden="false" customHeight="true" outlineLevel="0" collapsed="false">
      <c r="A2" s="14" t="s">
        <v>41</v>
      </c>
      <c r="B2" s="14" t="s">
        <v>8</v>
      </c>
      <c r="C2" s="14" t="s">
        <v>4</v>
      </c>
      <c r="D2" s="15" t="s">
        <v>42</v>
      </c>
      <c r="E2" s="14" t="s">
        <v>43</v>
      </c>
      <c r="F2" s="15" t="s">
        <v>44</v>
      </c>
      <c r="G2" s="16" t="n">
        <v>1</v>
      </c>
      <c r="H2" s="16" t="n">
        <v>1</v>
      </c>
      <c r="I2" s="16" t="n">
        <v>0</v>
      </c>
      <c r="J2" s="16"/>
      <c r="K2" s="16"/>
      <c r="L2" s="16"/>
      <c r="M2" s="16"/>
      <c r="N2" s="17" t="n">
        <f aca="false">SUM(G2:M2)</f>
        <v>2</v>
      </c>
      <c r="O2" s="17" t="n">
        <f aca="false">COUNT(G2:M2)</f>
        <v>3</v>
      </c>
      <c r="P2" s="18" t="n">
        <f aca="false">IF(O2=0,0,N2/O2)</f>
        <v>0.666666666666667</v>
      </c>
      <c r="Q2" s="14"/>
    </row>
    <row r="3" customFormat="false" ht="102" hidden="false" customHeight="true" outlineLevel="0" collapsed="false">
      <c r="A3" s="14" t="s">
        <v>45</v>
      </c>
      <c r="B3" s="14" t="s">
        <v>8</v>
      </c>
      <c r="C3" s="14" t="s">
        <v>5</v>
      </c>
      <c r="D3" s="15" t="s">
        <v>46</v>
      </c>
      <c r="E3" s="14" t="s">
        <v>47</v>
      </c>
      <c r="F3" s="15" t="s">
        <v>48</v>
      </c>
      <c r="G3" s="16" t="n">
        <v>1</v>
      </c>
      <c r="H3" s="16" t="n">
        <v>1</v>
      </c>
      <c r="I3" s="16" t="n">
        <v>0</v>
      </c>
      <c r="J3" s="16"/>
      <c r="K3" s="16"/>
      <c r="L3" s="16"/>
      <c r="M3" s="16"/>
      <c r="N3" s="17" t="n">
        <f aca="false">SUM(G3:M3)</f>
        <v>2</v>
      </c>
      <c r="O3" s="17" t="n">
        <f aca="false">COUNT(G3:M3)</f>
        <v>3</v>
      </c>
      <c r="P3" s="18" t="n">
        <f aca="false">IF(O3=0,0,N3/O3)</f>
        <v>0.666666666666667</v>
      </c>
      <c r="Q3" s="14"/>
    </row>
    <row r="4" customFormat="false" ht="174" hidden="false" customHeight="true" outlineLevel="0" collapsed="false">
      <c r="A4" s="14" t="s">
        <v>49</v>
      </c>
      <c r="B4" s="14" t="s">
        <v>8</v>
      </c>
      <c r="C4" s="14" t="s">
        <v>6</v>
      </c>
      <c r="D4" s="15" t="s">
        <v>50</v>
      </c>
      <c r="E4" s="14" t="s">
        <v>51</v>
      </c>
      <c r="F4" s="15" t="s">
        <v>52</v>
      </c>
      <c r="G4" s="16" t="n">
        <v>1</v>
      </c>
      <c r="H4" s="16" t="n">
        <v>1</v>
      </c>
      <c r="I4" s="16" t="n">
        <v>1</v>
      </c>
      <c r="J4" s="16"/>
      <c r="K4" s="16"/>
      <c r="L4" s="16"/>
      <c r="M4" s="16"/>
      <c r="N4" s="17" t="n">
        <f aca="false">SUM(G4:M4)</f>
        <v>3</v>
      </c>
      <c r="O4" s="17" t="n">
        <f aca="false">COUNT(G4:M4)</f>
        <v>3</v>
      </c>
      <c r="P4" s="18" t="n">
        <f aca="false">IF(O4=0,0,N4/O4)</f>
        <v>1</v>
      </c>
      <c r="Q4" s="14"/>
    </row>
    <row r="5" customFormat="false" ht="114" hidden="false" customHeight="true" outlineLevel="0" collapsed="false">
      <c r="A5" s="14" t="s">
        <v>53</v>
      </c>
      <c r="B5" s="14" t="s">
        <v>9</v>
      </c>
      <c r="C5" s="14" t="s">
        <v>4</v>
      </c>
      <c r="D5" s="15" t="s">
        <v>54</v>
      </c>
      <c r="E5" s="14" t="s">
        <v>55</v>
      </c>
      <c r="F5" s="15" t="s">
        <v>56</v>
      </c>
      <c r="G5" s="16" t="n">
        <v>0</v>
      </c>
      <c r="H5" s="16" t="n">
        <v>0</v>
      </c>
      <c r="I5" s="16" t="n">
        <v>0</v>
      </c>
      <c r="J5" s="16" t="n">
        <v>0</v>
      </c>
      <c r="K5" s="16" t="n">
        <v>0</v>
      </c>
      <c r="L5" s="16" t="n">
        <v>0</v>
      </c>
      <c r="M5" s="16"/>
      <c r="N5" s="17" t="n">
        <f aca="false">SUM(G5:M5)</f>
        <v>0</v>
      </c>
      <c r="O5" s="17" t="n">
        <f aca="false">COUNT(G5:M5)</f>
        <v>6</v>
      </c>
      <c r="P5" s="18" t="n">
        <f aca="false">IF(O5=0,0,N5/O5)</f>
        <v>0</v>
      </c>
      <c r="Q5" s="14" t="s">
        <v>57</v>
      </c>
    </row>
    <row r="6" customFormat="false" ht="162" hidden="false" customHeight="true" outlineLevel="0" collapsed="false">
      <c r="A6" s="14" t="s">
        <v>58</v>
      </c>
      <c r="B6" s="14" t="s">
        <v>9</v>
      </c>
      <c r="C6" s="14" t="s">
        <v>5</v>
      </c>
      <c r="D6" s="15" t="s">
        <v>59</v>
      </c>
      <c r="E6" s="14" t="s">
        <v>60</v>
      </c>
      <c r="F6" s="15" t="s">
        <v>61</v>
      </c>
      <c r="G6" s="16" t="n">
        <v>0</v>
      </c>
      <c r="H6" s="16" t="n">
        <v>1</v>
      </c>
      <c r="I6" s="16" t="n">
        <v>1</v>
      </c>
      <c r="J6" s="16" t="n">
        <v>1</v>
      </c>
      <c r="K6" s="16" t="n">
        <v>1</v>
      </c>
      <c r="L6" s="16" t="n">
        <v>1</v>
      </c>
      <c r="M6" s="16"/>
      <c r="N6" s="17" t="n">
        <f aca="false">SUM(G6:M6)</f>
        <v>5</v>
      </c>
      <c r="O6" s="17" t="n">
        <f aca="false">COUNT(G6:M6)</f>
        <v>6</v>
      </c>
      <c r="P6" s="18" t="n">
        <f aca="false">IF(O6=0,0,N6/O6)</f>
        <v>0.833333333333333</v>
      </c>
      <c r="Q6" s="14" t="s">
        <v>62</v>
      </c>
    </row>
    <row r="7" customFormat="false" ht="282" hidden="false" customHeight="true" outlineLevel="0" collapsed="false">
      <c r="A7" s="14" t="s">
        <v>63</v>
      </c>
      <c r="B7" s="14" t="s">
        <v>9</v>
      </c>
      <c r="C7" s="14" t="s">
        <v>6</v>
      </c>
      <c r="D7" s="15" t="s">
        <v>64</v>
      </c>
      <c r="E7" s="14" t="s">
        <v>65</v>
      </c>
      <c r="F7" s="15" t="s">
        <v>66</v>
      </c>
      <c r="G7" s="16" t="n">
        <v>1</v>
      </c>
      <c r="H7" s="16" t="n">
        <v>1</v>
      </c>
      <c r="I7" s="16" t="n">
        <v>1</v>
      </c>
      <c r="J7" s="16" t="n">
        <v>1</v>
      </c>
      <c r="K7" s="16" t="n">
        <v>1</v>
      </c>
      <c r="L7" s="16" t="n">
        <v>1</v>
      </c>
      <c r="M7" s="16"/>
      <c r="N7" s="17" t="n">
        <f aca="false">SUM(G7:M7)</f>
        <v>6</v>
      </c>
      <c r="O7" s="17" t="n">
        <f aca="false">COUNT(G7:M7)</f>
        <v>6</v>
      </c>
      <c r="P7" s="18" t="n">
        <f aca="false">IF(O7=0,0,N7/O7)</f>
        <v>1</v>
      </c>
      <c r="Q7" s="14"/>
    </row>
    <row r="8" customFormat="false" ht="162" hidden="false" customHeight="true" outlineLevel="0" collapsed="false">
      <c r="A8" s="14" t="s">
        <v>67</v>
      </c>
      <c r="B8" s="14" t="s">
        <v>10</v>
      </c>
      <c r="C8" s="14" t="s">
        <v>4</v>
      </c>
      <c r="D8" s="15" t="s">
        <v>68</v>
      </c>
      <c r="E8" s="14" t="s">
        <v>69</v>
      </c>
      <c r="F8" s="15" t="s">
        <v>70</v>
      </c>
      <c r="G8" s="16" t="n">
        <v>0</v>
      </c>
      <c r="H8" s="16" t="n">
        <v>0</v>
      </c>
      <c r="I8" s="16" t="n">
        <v>1</v>
      </c>
      <c r="J8" s="16" t="n">
        <v>1</v>
      </c>
      <c r="K8" s="16" t="n">
        <v>1</v>
      </c>
      <c r="L8" s="16" t="n">
        <v>1</v>
      </c>
      <c r="M8" s="16" t="n">
        <v>1</v>
      </c>
      <c r="N8" s="17" t="n">
        <f aca="false">SUM(G8:M8)</f>
        <v>5</v>
      </c>
      <c r="O8" s="17" t="n">
        <f aca="false">COUNT(G8:M8)</f>
        <v>7</v>
      </c>
      <c r="P8" s="18" t="n">
        <f aca="false">IF(O8=0,0,N8/O8)</f>
        <v>0.714285714285714</v>
      </c>
      <c r="Q8" s="14" t="s">
        <v>71</v>
      </c>
    </row>
    <row r="9" customFormat="false" ht="162" hidden="false" customHeight="true" outlineLevel="0" collapsed="false">
      <c r="A9" s="14" t="s">
        <v>72</v>
      </c>
      <c r="B9" s="14" t="s">
        <v>10</v>
      </c>
      <c r="C9" s="14" t="s">
        <v>5</v>
      </c>
      <c r="D9" s="15" t="s">
        <v>73</v>
      </c>
      <c r="E9" s="14" t="s">
        <v>74</v>
      </c>
      <c r="F9" s="15" t="s">
        <v>75</v>
      </c>
      <c r="G9" s="16" t="n">
        <v>0</v>
      </c>
      <c r="H9" s="16" t="n">
        <v>1</v>
      </c>
      <c r="I9" s="16" t="n">
        <v>1</v>
      </c>
      <c r="J9" s="16" t="n">
        <v>1</v>
      </c>
      <c r="K9" s="16" t="n">
        <v>1</v>
      </c>
      <c r="L9" s="16" t="n">
        <v>1</v>
      </c>
      <c r="M9" s="16" t="n">
        <v>1</v>
      </c>
      <c r="N9" s="17" t="n">
        <f aca="false">SUM(G9:M9)</f>
        <v>6</v>
      </c>
      <c r="O9" s="17" t="n">
        <f aca="false">COUNT(G9:M9)</f>
        <v>7</v>
      </c>
      <c r="P9" s="18" t="n">
        <f aca="false">IF(O9=0,0,N9/O9)</f>
        <v>0.857142857142857</v>
      </c>
      <c r="Q9" s="14" t="s">
        <v>76</v>
      </c>
    </row>
    <row r="10" customFormat="false" ht="246" hidden="false" customHeight="true" outlineLevel="0" collapsed="false">
      <c r="A10" s="14" t="s">
        <v>77</v>
      </c>
      <c r="B10" s="14" t="s">
        <v>10</v>
      </c>
      <c r="C10" s="14" t="s">
        <v>6</v>
      </c>
      <c r="D10" s="15" t="s">
        <v>78</v>
      </c>
      <c r="E10" s="14" t="s">
        <v>79</v>
      </c>
      <c r="F10" s="15" t="s">
        <v>80</v>
      </c>
      <c r="G10" s="16" t="n">
        <v>1</v>
      </c>
      <c r="H10" s="16" t="n">
        <v>1</v>
      </c>
      <c r="I10" s="16" t="n">
        <v>1</v>
      </c>
      <c r="J10" s="16" t="n">
        <v>1</v>
      </c>
      <c r="K10" s="16" t="n">
        <v>1</v>
      </c>
      <c r="L10" s="16" t="n">
        <v>1</v>
      </c>
      <c r="M10" s="16" t="n">
        <v>1</v>
      </c>
      <c r="N10" s="17" t="n">
        <f aca="false">SUM(G10:M10)</f>
        <v>7</v>
      </c>
      <c r="O10" s="17" t="n">
        <f aca="false">COUNT(G10:M10)</f>
        <v>7</v>
      </c>
      <c r="P10" s="18" t="n">
        <f aca="false">IF(O10=0,0,N10/O10)</f>
        <v>1</v>
      </c>
      <c r="Q10" s="14" t="s">
        <v>81</v>
      </c>
    </row>
    <row r="11" customFormat="false" ht="162" hidden="false" customHeight="true" outlineLevel="0" collapsed="false">
      <c r="A11" s="14" t="s">
        <v>82</v>
      </c>
      <c r="B11" s="14" t="s">
        <v>11</v>
      </c>
      <c r="C11" s="14" t="s">
        <v>4</v>
      </c>
      <c r="D11" s="15" t="s">
        <v>83</v>
      </c>
      <c r="E11" s="14" t="s">
        <v>84</v>
      </c>
      <c r="F11" s="15" t="s">
        <v>85</v>
      </c>
      <c r="G11" s="16" t="n">
        <v>1</v>
      </c>
      <c r="H11" s="16" t="n">
        <v>0</v>
      </c>
      <c r="I11" s="16" t="n">
        <v>0</v>
      </c>
      <c r="J11" s="16" t="n">
        <v>0</v>
      </c>
      <c r="K11" s="16" t="n">
        <v>0</v>
      </c>
      <c r="L11" s="16" t="n">
        <v>0</v>
      </c>
      <c r="M11" s="16"/>
      <c r="N11" s="17" t="n">
        <f aca="false">SUM(G11:M11)</f>
        <v>1</v>
      </c>
      <c r="O11" s="17" t="n">
        <f aca="false">COUNT(G11:M11)</f>
        <v>6</v>
      </c>
      <c r="P11" s="18" t="n">
        <f aca="false">IF(O11=0,0,N11/O11)</f>
        <v>0.166666666666667</v>
      </c>
      <c r="Q11" s="14" t="s">
        <v>86</v>
      </c>
    </row>
    <row r="12" customFormat="false" ht="162" hidden="false" customHeight="true" outlineLevel="0" collapsed="false">
      <c r="A12" s="14" t="s">
        <v>87</v>
      </c>
      <c r="B12" s="14" t="s">
        <v>11</v>
      </c>
      <c r="C12" s="14" t="s">
        <v>5</v>
      </c>
      <c r="D12" s="15" t="s">
        <v>88</v>
      </c>
      <c r="E12" s="14" t="s">
        <v>89</v>
      </c>
      <c r="F12" s="15" t="s">
        <v>90</v>
      </c>
      <c r="G12" s="16" t="n">
        <v>1</v>
      </c>
      <c r="H12" s="16" t="n">
        <v>1</v>
      </c>
      <c r="I12" s="16" t="n">
        <v>1</v>
      </c>
      <c r="J12" s="16" t="n">
        <v>0</v>
      </c>
      <c r="K12" s="16" t="n">
        <v>0</v>
      </c>
      <c r="L12" s="16" t="n">
        <v>0</v>
      </c>
      <c r="M12" s="16"/>
      <c r="N12" s="17" t="n">
        <f aca="false">SUM(G12:M12)</f>
        <v>3</v>
      </c>
      <c r="O12" s="17" t="n">
        <f aca="false">COUNT(G12:M12)</f>
        <v>6</v>
      </c>
      <c r="P12" s="18" t="n">
        <f aca="false">IF(O12=0,0,N12/O12)</f>
        <v>0.5</v>
      </c>
      <c r="Q12" s="14"/>
    </row>
    <row r="13" customFormat="false" ht="408.75" hidden="false" customHeight="true" outlineLevel="0" collapsed="false">
      <c r="A13" s="14" t="s">
        <v>91</v>
      </c>
      <c r="B13" s="14" t="s">
        <v>11</v>
      </c>
      <c r="C13" s="14" t="s">
        <v>6</v>
      </c>
      <c r="D13" s="15" t="s">
        <v>92</v>
      </c>
      <c r="E13" s="14" t="s">
        <v>93</v>
      </c>
      <c r="F13" s="15" t="s">
        <v>94</v>
      </c>
      <c r="G13" s="16" t="n">
        <v>1</v>
      </c>
      <c r="H13" s="16" t="n">
        <v>1</v>
      </c>
      <c r="I13" s="16" t="n">
        <v>1</v>
      </c>
      <c r="J13" s="16" t="n">
        <v>1</v>
      </c>
      <c r="K13" s="16" t="n">
        <v>1</v>
      </c>
      <c r="L13" s="16" t="n">
        <v>1</v>
      </c>
      <c r="M13" s="16"/>
      <c r="N13" s="17" t="n">
        <f aca="false">SUM(G13:M13)</f>
        <v>6</v>
      </c>
      <c r="O13" s="17" t="n">
        <f aca="false">COUNT(G13:M13)</f>
        <v>6</v>
      </c>
      <c r="P13" s="18" t="n">
        <f aca="false">IF(O13=0,0,N13/O13)</f>
        <v>1</v>
      </c>
      <c r="Q13" s="14"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80"/>
    <col collapsed="false" customWidth="true" hidden="false" outlineLevel="0" max="4" min="4" style="0" width="40"/>
  </cols>
  <sheetData>
    <row r="1" customFormat="false" ht="15" hidden="false" customHeight="false" outlineLevel="0" collapsed="false">
      <c r="A1" s="19" t="s">
        <v>3</v>
      </c>
      <c r="B1" s="19" t="s">
        <v>96</v>
      </c>
      <c r="C1" s="19" t="s">
        <v>97</v>
      </c>
      <c r="D1" s="19" t="s">
        <v>98</v>
      </c>
    </row>
    <row r="2" customFormat="false" ht="15" hidden="false" customHeight="false" outlineLevel="0" collapsed="false">
      <c r="A2" s="14" t="s">
        <v>8</v>
      </c>
      <c r="B2" s="17" t="n">
        <v>1</v>
      </c>
      <c r="C2" s="14" t="s">
        <v>99</v>
      </c>
      <c r="D2" s="14" t="s">
        <v>100</v>
      </c>
    </row>
    <row r="3" customFormat="false" ht="15" hidden="false" customHeight="false" outlineLevel="0" collapsed="false">
      <c r="A3" s="14" t="s">
        <v>8</v>
      </c>
      <c r="B3" s="17" t="n">
        <v>2</v>
      </c>
      <c r="C3" s="14" t="s">
        <v>101</v>
      </c>
      <c r="D3" s="14" t="s">
        <v>102</v>
      </c>
    </row>
    <row r="4" customFormat="false" ht="15" hidden="false" customHeight="false" outlineLevel="0" collapsed="false">
      <c r="A4" s="14" t="s">
        <v>8</v>
      </c>
      <c r="B4" s="17" t="n">
        <v>3</v>
      </c>
      <c r="C4" s="14" t="s">
        <v>103</v>
      </c>
      <c r="D4" s="14" t="s">
        <v>104</v>
      </c>
    </row>
    <row r="5" customFormat="false" ht="15" hidden="false" customHeight="false" outlineLevel="0" collapsed="false">
      <c r="A5" s="14" t="s">
        <v>9</v>
      </c>
      <c r="B5" s="17" t="n">
        <v>1</v>
      </c>
      <c r="C5" s="14" t="s">
        <v>105</v>
      </c>
      <c r="D5" s="14" t="s">
        <v>106</v>
      </c>
    </row>
    <row r="6" customFormat="false" ht="15" hidden="false" customHeight="false" outlineLevel="0" collapsed="false">
      <c r="A6" s="14" t="s">
        <v>9</v>
      </c>
      <c r="B6" s="17" t="n">
        <v>2</v>
      </c>
      <c r="C6" s="14" t="s">
        <v>107</v>
      </c>
      <c r="D6" s="14" t="s">
        <v>108</v>
      </c>
    </row>
    <row r="7" customFormat="false" ht="15" hidden="false" customHeight="false" outlineLevel="0" collapsed="false">
      <c r="A7" s="14" t="s">
        <v>9</v>
      </c>
      <c r="B7" s="17" t="n">
        <v>3</v>
      </c>
      <c r="C7" s="14" t="s">
        <v>109</v>
      </c>
      <c r="D7" s="14" t="s">
        <v>110</v>
      </c>
    </row>
    <row r="8" customFormat="false" ht="15" hidden="false" customHeight="false" outlineLevel="0" collapsed="false">
      <c r="A8" s="14" t="s">
        <v>9</v>
      </c>
      <c r="B8" s="17" t="n">
        <v>4</v>
      </c>
      <c r="C8" s="14" t="s">
        <v>111</v>
      </c>
      <c r="D8" s="14" t="s">
        <v>112</v>
      </c>
    </row>
    <row r="9" customFormat="false" ht="15" hidden="false" customHeight="false" outlineLevel="0" collapsed="false">
      <c r="A9" s="14" t="s">
        <v>9</v>
      </c>
      <c r="B9" s="17" t="n">
        <v>5</v>
      </c>
      <c r="C9" s="14" t="s">
        <v>113</v>
      </c>
      <c r="D9" s="14" t="s">
        <v>114</v>
      </c>
    </row>
    <row r="10" customFormat="false" ht="15" hidden="false" customHeight="false" outlineLevel="0" collapsed="false">
      <c r="A10" s="14" t="s">
        <v>9</v>
      </c>
      <c r="B10" s="17" t="n">
        <v>6</v>
      </c>
      <c r="C10" s="14" t="s">
        <v>115</v>
      </c>
      <c r="D10" s="14" t="s">
        <v>116</v>
      </c>
    </row>
    <row r="11" customFormat="false" ht="15" hidden="false" customHeight="false" outlineLevel="0" collapsed="false">
      <c r="A11" s="14" t="s">
        <v>10</v>
      </c>
      <c r="B11" s="17" t="n">
        <v>1</v>
      </c>
      <c r="C11" s="14" t="s">
        <v>117</v>
      </c>
      <c r="D11" s="14" t="s">
        <v>118</v>
      </c>
    </row>
    <row r="12" customFormat="false" ht="15" hidden="false" customHeight="false" outlineLevel="0" collapsed="false">
      <c r="A12" s="14" t="s">
        <v>10</v>
      </c>
      <c r="B12" s="17" t="n">
        <v>2</v>
      </c>
      <c r="C12" s="14" t="s">
        <v>119</v>
      </c>
      <c r="D12" s="14" t="s">
        <v>120</v>
      </c>
    </row>
    <row r="13" customFormat="false" ht="15" hidden="false" customHeight="false" outlineLevel="0" collapsed="false">
      <c r="A13" s="14" t="s">
        <v>10</v>
      </c>
      <c r="B13" s="17" t="n">
        <v>3</v>
      </c>
      <c r="C13" s="14" t="s">
        <v>121</v>
      </c>
      <c r="D13" s="14" t="s">
        <v>122</v>
      </c>
    </row>
    <row r="14" customFormat="false" ht="15" hidden="false" customHeight="false" outlineLevel="0" collapsed="false">
      <c r="A14" s="14" t="s">
        <v>10</v>
      </c>
      <c r="B14" s="17" t="n">
        <v>4</v>
      </c>
      <c r="C14" s="14" t="s">
        <v>123</v>
      </c>
      <c r="D14" s="14" t="s">
        <v>122</v>
      </c>
    </row>
    <row r="15" customFormat="false" ht="15" hidden="false" customHeight="false" outlineLevel="0" collapsed="false">
      <c r="A15" s="14" t="s">
        <v>10</v>
      </c>
      <c r="B15" s="17" t="n">
        <v>5</v>
      </c>
      <c r="C15" s="14" t="s">
        <v>124</v>
      </c>
      <c r="D15" s="14" t="s">
        <v>122</v>
      </c>
    </row>
    <row r="16" customFormat="false" ht="15" hidden="false" customHeight="false" outlineLevel="0" collapsed="false">
      <c r="A16" s="14" t="s">
        <v>10</v>
      </c>
      <c r="B16" s="17" t="n">
        <v>6</v>
      </c>
      <c r="C16" s="14" t="s">
        <v>125</v>
      </c>
      <c r="D16" s="14" t="s">
        <v>122</v>
      </c>
    </row>
    <row r="17" customFormat="false" ht="15" hidden="false" customHeight="false" outlineLevel="0" collapsed="false">
      <c r="A17" s="14" t="s">
        <v>10</v>
      </c>
      <c r="B17" s="17" t="n">
        <v>7</v>
      </c>
      <c r="C17" s="14" t="s">
        <v>126</v>
      </c>
      <c r="D17" s="14" t="s">
        <v>127</v>
      </c>
    </row>
    <row r="18" customFormat="false" ht="15" hidden="false" customHeight="false" outlineLevel="0" collapsed="false">
      <c r="A18" s="14" t="s">
        <v>11</v>
      </c>
      <c r="B18" s="17" t="n">
        <v>1</v>
      </c>
      <c r="C18" s="14" t="s">
        <v>128</v>
      </c>
      <c r="D18" s="14" t="s">
        <v>129</v>
      </c>
    </row>
    <row r="19" customFormat="false" ht="15" hidden="false" customHeight="false" outlineLevel="0" collapsed="false">
      <c r="A19" s="14" t="s">
        <v>11</v>
      </c>
      <c r="B19" s="17" t="n">
        <v>2</v>
      </c>
      <c r="C19" s="14" t="s">
        <v>130</v>
      </c>
      <c r="D19" s="14" t="s">
        <v>131</v>
      </c>
    </row>
    <row r="20" customFormat="false" ht="15" hidden="false" customHeight="false" outlineLevel="0" collapsed="false">
      <c r="A20" s="14" t="s">
        <v>11</v>
      </c>
      <c r="B20" s="17" t="n">
        <v>3</v>
      </c>
      <c r="C20" s="14" t="s">
        <v>132</v>
      </c>
      <c r="D20" s="14" t="s">
        <v>129</v>
      </c>
    </row>
    <row r="21" customFormat="false" ht="15" hidden="false" customHeight="false" outlineLevel="0" collapsed="false">
      <c r="A21" s="14" t="s">
        <v>11</v>
      </c>
      <c r="B21" s="17" t="n">
        <v>4</v>
      </c>
      <c r="C21" s="14" t="s">
        <v>133</v>
      </c>
      <c r="D21" s="14" t="s">
        <v>134</v>
      </c>
    </row>
    <row r="22" customFormat="false" ht="15" hidden="false" customHeight="false" outlineLevel="0" collapsed="false">
      <c r="A22" s="14" t="s">
        <v>11</v>
      </c>
      <c r="B22" s="17" t="n">
        <v>5</v>
      </c>
      <c r="C22" s="14" t="s">
        <v>135</v>
      </c>
      <c r="D22" s="14" t="s">
        <v>134</v>
      </c>
    </row>
    <row r="23" customFormat="false" ht="15" hidden="false" customHeight="false" outlineLevel="0" collapsed="false">
      <c r="A23" s="14" t="s">
        <v>11</v>
      </c>
      <c r="B23" s="17" t="n">
        <v>6</v>
      </c>
      <c r="C23" s="14" t="s">
        <v>136</v>
      </c>
      <c r="D23" s="14"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5" hidden="false" customHeight="false" outlineLevel="0" collapsed="false">
      <c r="A1" s="19" t="s">
        <v>138</v>
      </c>
      <c r="B1" s="19" t="s">
        <v>139</v>
      </c>
    </row>
    <row r="2" customFormat="false" ht="57.75" hidden="false" customHeight="true" outlineLevel="0" collapsed="false">
      <c r="A2" s="14" t="s">
        <v>140</v>
      </c>
      <c r="B2" s="14" t="s">
        <v>141</v>
      </c>
    </row>
    <row r="3" customFormat="false" ht="84" hidden="false" customHeight="true" outlineLevel="0" collapsed="false">
      <c r="A3" s="14" t="s">
        <v>142</v>
      </c>
      <c r="B3" s="14" t="s">
        <v>143</v>
      </c>
    </row>
    <row r="4" customFormat="false" ht="109.5" hidden="false" customHeight="true" outlineLevel="0" collapsed="false">
      <c r="A4" s="14" t="s">
        <v>144</v>
      </c>
      <c r="B4" s="14" t="s">
        <v>145</v>
      </c>
    </row>
    <row r="5" customFormat="false" ht="57.75" hidden="false" customHeight="true" outlineLevel="0" collapsed="false">
      <c r="A5" s="14" t="s">
        <v>146</v>
      </c>
      <c r="B5" s="14"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2026-10-06T09:46:08Z</dcterms:created>
  <dc:creator>openpyxl</dc:creator>
  <dc:description/>
  <dc:language>en-US</dc:language>
  <cp:lastModifiedBy/>
  <dcterms:modified xsi:type="dcterms:W3CDTF">2026-10-06T09:46:11Z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